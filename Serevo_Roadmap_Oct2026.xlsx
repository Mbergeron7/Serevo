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<sst xmlns="http://schemas.openxmlformats.org/spreadsheetml/2006/main" count="334" uniqueCount="187">
  <si>
    <t xml:space="preserve">Serevo WFM — Production Roadmap</t>
  </si>
  <si>
    <t xml:space="preserve">Updated October 3, 2026 · Bergeron WFM Solutions</t>
  </si>
  <si>
    <t xml:space="preserve">#</t>
  </si>
  <si>
    <t xml:space="preserve">Feature</t>
  </si>
  <si>
    <t xml:space="preserve">Status</t>
  </si>
  <si>
    <t xml:space="preserve">Details</t>
  </si>
  <si>
    <t xml:space="preserve">Priority</t>
  </si>
  <si>
    <t xml:space="preserve">Category</t>
  </si>
  <si>
    <t xml:space="preserve">Phase 1 — Data Layer &amp; Storage</t>
  </si>
  <si>
    <t xml:space="preserve">1.1</t>
  </si>
  <si>
    <t xml:space="preserve">PostgreSQL Database</t>
  </si>
  <si>
    <t xml:space="preserve">✅ Complete</t>
  </si>
  <si>
    <t xml:space="preserve">SQLAlchemy ORM, 30+ models, Alembic migrations, Render managed Postgres</t>
  </si>
  <si>
    <t xml:space="preserve">High</t>
  </si>
  <si>
    <t xml:space="preserve">Foundation</t>
  </si>
  <si>
    <t xml:space="preserve">1.2</t>
  </si>
  <si>
    <t xml:space="preserve">CSV / Excel Upload</t>
  </si>
  <si>
    <t xml:space="preserve">7 upload types: employees, forecast, requirements, accommodations, PTO, actuals, agent status</t>
  </si>
  <si>
    <t xml:space="preserve">1.3</t>
  </si>
  <si>
    <t xml:space="preserve">API Connection Manager</t>
  </si>
  <si>
    <t xml:space="preserve">Full CRUD settings UI, test/sync/toggle, connector framework (base, registry, sync, wfm_legacy)</t>
  </si>
  <si>
    <t xml:space="preserve">1.4</t>
  </si>
  <si>
    <t xml:space="preserve">Manual Data Entry Forms</t>
  </si>
  <si>
    <t xml:space="preserve">🔶 Partial</t>
  </si>
  <si>
    <t xml:space="preserve">Accommodation &amp; PTO modals work; employee add exists but limited inline editing</t>
  </si>
  <si>
    <t xml:space="preserve">Medium</t>
  </si>
  <si>
    <t xml:space="preserve">1.5</t>
  </si>
  <si>
    <t xml:space="preserve">Google Sheets Integration</t>
  </si>
  <si>
    <t xml:space="preserve">gspread integration with save/test/disconnect; used as forecast data source</t>
  </si>
  <si>
    <t xml:space="preserve">Phase 2 — Auth &amp; User Management</t>
  </si>
  <si>
    <t xml:space="preserve">2.1</t>
  </si>
  <si>
    <t xml:space="preserve">Password-Based Login</t>
  </si>
  <si>
    <t xml:space="preserve">Flask-Bcrypt hashing, demo accounts preserved, session-based auth</t>
  </si>
  <si>
    <t xml:space="preserve">2.2</t>
  </si>
  <si>
    <t xml:space="preserve">User Roles (Admin/Supervisor/Agent)</t>
  </si>
  <si>
    <t xml:space="preserve">Three-tier system with decorators: login_required, admin_required, agent_required, supervisor_required</t>
  </si>
  <si>
    <t xml:space="preserve">2.3</t>
  </si>
  <si>
    <t xml:space="preserve">User Management UI</t>
  </si>
  <si>
    <t xml:space="preserve">Admin page: create/edit/toggle-active users, employee auto-linking on creation</t>
  </si>
  <si>
    <t xml:space="preserve">2.4</t>
  </si>
  <si>
    <t xml:space="preserve">Session Security</t>
  </si>
  <si>
    <t xml:space="preserve">Session-based auth works; no CSRF protection or configurable session timeout yet</t>
  </si>
  <si>
    <t xml:space="preserve">2.5</t>
  </si>
  <si>
    <t xml:space="preserve">OAuth / SSO</t>
  </si>
  <si>
    <t xml:space="preserve">❌ Not Started</t>
  </si>
  <si>
    <t xml:space="preserve">Designed for future swap — not needed for initial launch</t>
  </si>
  <si>
    <t xml:space="preserve">Low</t>
  </si>
  <si>
    <t xml:space="preserve">Phase 3 — Table UX &amp; Interactivity</t>
  </si>
  <si>
    <t xml:space="preserve">3.1</t>
  </si>
  <si>
    <t xml:space="preserve">Column Sorting</t>
  </si>
  <si>
    <t xml:space="preserve">table-utils.js: auto-detect numeric/date/text, asc/desc toggle on all tables</t>
  </si>
  <si>
    <t xml:space="preserve">UX Polish</t>
  </si>
  <si>
    <t xml:space="preserve">3.2</t>
  </si>
  <si>
    <t xml:space="preserve">Advanced Filters</t>
  </si>
  <si>
    <t xml:space="preserve">TableFilter.init, .dropdown, .dateRange — text search, dropdown, and date range filters</t>
  </si>
  <si>
    <t xml:space="preserve">3.3</t>
  </si>
  <si>
    <t xml:space="preserve">Conditional Formatting</t>
  </si>
  <si>
    <t xml:space="preserve">Status-based coloring in realtime templates; not a universal system across all tables</t>
  </si>
  <si>
    <t xml:space="preserve">3.4</t>
  </si>
  <si>
    <t xml:space="preserve">Pagination</t>
  </si>
  <si>
    <t xml:space="preserve">Queries use .limit() but no page/offset pagination for large datasets</t>
  </si>
  <si>
    <t xml:space="preserve">3.5</t>
  </si>
  <si>
    <t xml:space="preserve">Export to CSV/Excel</t>
  </si>
  <si>
    <t xml:space="preserve">Capacity export exists; no universal export buttons on all data tables</t>
  </si>
  <si>
    <t xml:space="preserve">Phase 4 — Module Completion</t>
  </si>
  <si>
    <t xml:space="preserve">4.1</t>
  </si>
  <si>
    <t xml:space="preserve">Demo Data in All Modules</t>
  </si>
  <si>
    <t xml:space="preserve">All modules generate realistic demo data: portal, scheduling, forecasting, realtime, people</t>
  </si>
  <si>
    <t xml:space="preserve">Core Features</t>
  </si>
  <si>
    <t xml:space="preserve">4.2</t>
  </si>
  <si>
    <t xml:space="preserve">Employee Management (Add/Edit/Deactivate)</t>
  </si>
  <si>
    <t xml:space="preserve">Full roster + profile pages, accommodation/PTO CRUD, skill assignments with proficiency</t>
  </si>
  <si>
    <t xml:space="preserve">4.3</t>
  </si>
  <si>
    <t xml:space="preserve">Scheduling Engine</t>
  </si>
  <si>
    <t xml:space="preserve">1585-line engine: greedy generation, coverage analysis, scoring, multi-day, rotation/fill-in</t>
  </si>
  <si>
    <t xml:space="preserve">4.4</t>
  </si>
  <si>
    <t xml:space="preserve">Forecasting Data Import</t>
  </si>
  <si>
    <t xml:space="preserve">Historical data pipeline from CSV, API, and Google Sheets into normalized DB tables</t>
  </si>
  <si>
    <t xml:space="preserve">4.5</t>
  </si>
  <si>
    <t xml:space="preserve">Real-Time Data Feed</t>
  </si>
  <si>
    <t xml:space="preserve">Snapshot-on-demand via realtime engine; no live WebSocket or continuous polling yet</t>
  </si>
  <si>
    <t xml:space="preserve">Phase 5 — Polish &amp; Go-Live</t>
  </si>
  <si>
    <t xml:space="preserve">5.1</t>
  </si>
  <si>
    <t xml:space="preserve">Error Handling</t>
  </si>
  <si>
    <t xml:space="preserve">try/except in routes with flash messages; no custom 404/500 pages</t>
  </si>
  <si>
    <t xml:space="preserve">Infrastructure</t>
  </si>
  <si>
    <t xml:space="preserve">5.2</t>
  </si>
  <si>
    <t xml:space="preserve">Structured Logging</t>
  </si>
  <si>
    <t xml:space="preserve">logging.getLogger used in engines; no JSON logs or correlation IDs</t>
  </si>
  <si>
    <t xml:space="preserve">5.3</t>
  </si>
  <si>
    <t xml:space="preserve">Automated Tests</t>
  </si>
  <si>
    <t xml:space="preserve">No tests/ directory or test files</t>
  </si>
  <si>
    <t xml:space="preserve">5.4</t>
  </si>
  <si>
    <t xml:space="preserve">Navigation Consistency</t>
  </si>
  <si>
    <t xml:space="preserve">Shared base.html with consistent nav, sidebar, flash messages, mobile hamburger</t>
  </si>
  <si>
    <t xml:space="preserve">5.5</t>
  </si>
  <si>
    <t xml:space="preserve">Custom Domain</t>
  </si>
  <si>
    <t xml:space="preserve">Render deployment live; no custom domain configured yet</t>
  </si>
  <si>
    <t xml:space="preserve">5.6</t>
  </si>
  <si>
    <t xml:space="preserve">Landing Page</t>
  </si>
  <si>
    <t xml:space="preserve">Template exists in legacy code; not fully wired as public marketing page</t>
  </si>
  <si>
    <t xml:space="preserve">Phase 6 — Agent Self-Service Portal</t>
  </si>
  <si>
    <t xml:space="preserve">6.1</t>
  </si>
  <si>
    <t xml:space="preserve">Agent Schedule View</t>
  </si>
  <si>
    <t xml:space="preserve">My Schedule tab in portal + standalone page, week nav, date picker, today highlight</t>
  </si>
  <si>
    <t xml:space="preserve">Competitive Feature</t>
  </si>
  <si>
    <t xml:space="preserve">6.2</t>
  </si>
  <si>
    <t xml:space="preserve">Time-Off Requests</t>
  </si>
  <si>
    <t xml:space="preserve">Submit/cancel PTO through portal; approval queue for managers</t>
  </si>
  <si>
    <t xml:space="preserve">6.3</t>
  </si>
  <si>
    <t xml:space="preserve">Shift Bidding</t>
  </si>
  <si>
    <t xml:space="preserve">ShiftPost/ShiftBid models; list/submit/cancel bids with demo data</t>
  </si>
  <si>
    <t xml:space="preserve">6.4</t>
  </si>
  <si>
    <t xml:space="preserve">Shift Swapping</t>
  </si>
  <si>
    <t xml:space="preserve">ShiftSwapRequest model; submit/accept/cancel swaps</t>
  </si>
  <si>
    <t xml:space="preserve">6.5</t>
  </si>
  <si>
    <t xml:space="preserve">VTO / Overtime Sign-Up</t>
  </si>
  <si>
    <t xml:space="preserve">VTOOTPost/VTOOTSignup models; list/signup/cancel with real-time updates</t>
  </si>
  <si>
    <t xml:space="preserve">6.6</t>
  </si>
  <si>
    <t xml:space="preserve">Mobile PWA</t>
  </si>
  <si>
    <t xml:space="preserve">No manifest.json or service worker; portal is web-only</t>
  </si>
  <si>
    <t xml:space="preserve">Phase 7 — Forecasting Engine</t>
  </si>
  <si>
    <t xml:space="preserve">7.1</t>
  </si>
  <si>
    <t xml:space="preserve">Historical Data Pipeline</t>
  </si>
  <si>
    <t xml:space="preserve">Ingest from CSV, API, Sheets into normalized time-series tables by interval</t>
  </si>
  <si>
    <t xml:space="preserve">7.2</t>
  </si>
  <si>
    <t xml:space="preserve">Statistical Forecasting</t>
  </si>
  <si>
    <t xml:space="preserve">Moving avg, weighted avg, Holt-Winters triple exponential smoothing; auto-select best method</t>
  </si>
  <si>
    <t xml:space="preserve">7.3</t>
  </si>
  <si>
    <t xml:space="preserve">AI/ML Forecasting</t>
  </si>
  <si>
    <t xml:space="preserve">No scikit-learn/Prophet/neural net integration</t>
  </si>
  <si>
    <t xml:space="preserve">7.4</t>
  </si>
  <si>
    <t xml:space="preserve">Forecast Accuracy Tracking</t>
  </si>
  <si>
    <t xml:space="preserve">MAPE, WMAPE, bias metrics with compute_accuracy</t>
  </si>
  <si>
    <t xml:space="preserve">7.5</t>
  </si>
  <si>
    <t xml:space="preserve">Mid-Day Reforecasting</t>
  </si>
  <si>
    <t xml:space="preserve">No triggered reforecast based on actual vs. forecast variance</t>
  </si>
  <si>
    <t xml:space="preserve">7.6</t>
  </si>
  <si>
    <t xml:space="preserve">What-If Scenario Planning</t>
  </si>
  <si>
    <t xml:space="preserve">apply_what_if with volume/AHT percentage adjustments and scenario comparison</t>
  </si>
  <si>
    <t xml:space="preserve">Phase 8 — Multi-Skill Scheduling</t>
  </si>
  <si>
    <t xml:space="preserve">8.1</t>
  </si>
  <si>
    <t xml:space="preserve">Skill Proficiency Modeling</t>
  </si>
  <si>
    <t xml:space="preserve">SkillMapping with 1–5 proficiency, priority, UI for assign/remove on profiles</t>
  </si>
  <si>
    <t xml:space="preserve">Enterprise Feature</t>
  </si>
  <si>
    <t xml:space="preserve">8.2</t>
  </si>
  <si>
    <t xml:space="preserve">Multi-Skill Demand Calculation</t>
  </si>
  <si>
    <t xml:space="preserve">get_multi_skill_requirements splits demand proportionally by skill group</t>
  </si>
  <si>
    <t xml:space="preserve">8.3</t>
  </si>
  <si>
    <t xml:space="preserve">Constraint-Based Optimizer</t>
  </si>
  <si>
    <t xml:space="preserve">Greedy algorithm with skill/availability/accommodation constraints; no LP/CP solver</t>
  </si>
  <si>
    <t xml:space="preserve">8.4</t>
  </si>
  <si>
    <t xml:space="preserve">Schedule Scoring &amp; Comparison</t>
  </si>
  <si>
    <t xml:space="preserve">Multi-dimension scoring: coverage %, SL prediction, cost, preference satisfaction</t>
  </si>
  <si>
    <t xml:space="preserve">8.5</t>
  </si>
  <si>
    <t xml:space="preserve">Bulk Schedule Editing</t>
  </si>
  <si>
    <t xml:space="preserve">Select multiple agents, apply same change; essential for volume spikes</t>
  </si>
  <si>
    <t xml:space="preserve">Phase 9 — Intraday &amp; Advanced</t>
  </si>
  <si>
    <t xml:space="preserve">9.1</t>
  </si>
  <si>
    <t xml:space="preserve">Intraday Schedule Optimization</t>
  </si>
  <si>
    <t xml:space="preserve">Break moves, VTO offers, skill reassignment logic in intraday engine</t>
  </si>
  <si>
    <t xml:space="preserve">9.2</t>
  </si>
  <si>
    <t xml:space="preserve">RT Adherence Drill-Down</t>
  </si>
  <si>
    <t xml:space="preserve">Per-agent adherence timeline with schedule vs. actual state comparison</t>
  </si>
  <si>
    <t xml:space="preserve">9.3</t>
  </si>
  <si>
    <t xml:space="preserve">Queue-Level Net Staffing</t>
  </si>
  <si>
    <t xml:space="preserve">Required vs. scheduled vs. actual per queue with surplus/deficit indicators</t>
  </si>
  <si>
    <t xml:space="preserve">9.4</t>
  </si>
  <si>
    <t xml:space="preserve">Gamification &amp; Engagement</t>
  </si>
  <si>
    <t xml:space="preserve">Leaderboard with adherence points, badges, configurable metrics</t>
  </si>
  <si>
    <t xml:space="preserve">9.5</t>
  </si>
  <si>
    <t xml:space="preserve">Long-Range Capacity Planning</t>
  </si>
  <si>
    <t xml:space="preserve">Multi-year projections with attrition, hiring lead times, what-if scenarios</t>
  </si>
  <si>
    <t xml:space="preserve">9.6</t>
  </si>
  <si>
    <t xml:space="preserve">Interaction Analytics Integration</t>
  </si>
  <si>
    <t xml:space="preserve">Webhook receiver for external QM data; merged dashboard alongside schedule data</t>
  </si>
  <si>
    <t xml:space="preserve">9.7</t>
  </si>
  <si>
    <t xml:space="preserve">Coaching Session Management</t>
  </si>
  <si>
    <t xml:space="preserve">CRUD for coaching sessions tied to performance; profile tab integration</t>
  </si>
  <si>
    <t xml:space="preserve">Roadmap Summary by Phase</t>
  </si>
  <si>
    <t xml:space="preserve">Phase</t>
  </si>
  <si>
    <t xml:space="preserve">Complete</t>
  </si>
  <si>
    <t xml:space="preserve">Partial</t>
  </si>
  <si>
    <t xml:space="preserve">Not Started</t>
  </si>
  <si>
    <t xml:space="preserve">Total</t>
  </si>
  <si>
    <t xml:space="preserve">% Complete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</si>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</sst>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A4A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721C2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C5282"/>
        <bgColor rgb="FF374151"/>
      </patternFill>
    </fill>
    <fill>
      <patternFill patternType="solid">
        <fgColor rgb="FFE8EDF5"/>
        <bgColor rgb="FFF5F6FA"/>
      </patternFill>
    </fill>
    <fill>
      <patternFill patternType="solid">
        <fgColor rgb="FFF5F6FA"/>
        <bgColor rgb="FFFFFFFF"/>
      </patternFill>
    </fill>
    <fill>
      <patternFill patternType="solid">
        <fgColor rgb="FFD4EDDA"/>
        <bgColor rgb="FFE8EDF5"/>
      </patternFill>
    </fill>
    <fill>
      <patternFill patternType="solid">
        <fgColor rgb="FFFFFFFF"/>
        <bgColor rgb="FFF5F6FA"/>
      </patternFill>
    </fill>
    <fill>
      <patternFill patternType="solid">
        <fgColor rgb="FFFFF3CD"/>
        <bgColor rgb="FFF5F6FA"/>
      </patternFill>
    </fill>
    <fill>
      <patternFill patternType="solid">
        <fgColor rgb="FFF8D7DA"/>
        <bgColor rgb="FFE8EDF5"/>
      </patternFill>
    </fill>
    <fill>
      <patternFill patternType="solid">
        <fgColor rgb="FF1B2A4A"/>
        <bgColor rgb="FF37415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 diagonalUp="false" diagonalDown="false">
      <left style="thin">
        <color rgb="FFD0D5DD"/>
      </left>
      <right/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C0C0C0"/>
      <rgbColor rgb="FF808080"/>
      <rgbColor rgb="FF9999FF"/>
      <rgbColor rgb="FF993366"/>
      <rgbColor rgb="FFFFF3CD"/>
      <rgbColor rgb="FFE8EDF5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6FA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B2A4A"/>
      <rgbColor rgb="FF38A169"/>
      <rgbColor rgb="FF155724"/>
      <rgbColor rgb="FF333300"/>
      <rgbColor rgb="FF993300"/>
      <rgbColor rgb="FF993366"/>
      <rgbColor rgb="FF2C5282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5282"/>
    <pageSetUpPr fitToPage="false"/>
  </sheetPr>
  <dimension ref="A1:F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</row>
    <row r="4" customFormat="false" ht="27.75" hidden="false" customHeight="true" outlineLevel="0" collapsed="false">
      <c r="A4" s="4" t="s">
        <v>2</v>
      </c>
      <c r="B4" s="5" t="s">
        <v>3</v>
      </c>
      <c r="C4" s="4" t="s">
        <v>4</v>
      </c>
      <c r="D4" s="5" t="s">
        <v>5</v>
      </c>
      <c r="E4" s="4" t="s">
        <v>6</v>
      </c>
      <c r="F4" s="4" t="s">
        <v>7</v>
      </c>
    </row>
    <row r="5" customFormat="false" ht="27.75" hidden="false" customHeight="true" outlineLevel="0" collapsed="false">
      <c r="A5" s="6" t="s">
        <v>8</v>
      </c>
      <c r="B5" s="6"/>
      <c r="C5" s="6"/>
      <c r="D5" s="6"/>
      <c r="E5" s="6"/>
      <c r="F5" s="6"/>
    </row>
    <row r="6" customFormat="false" ht="36" hidden="false" customHeight="true" outlineLevel="0" collapsed="false">
      <c r="A6" s="7" t="s">
        <v>9</v>
      </c>
      <c r="B6" s="8" t="s">
        <v>10</v>
      </c>
      <c r="C6" s="9" t="s">
        <v>11</v>
      </c>
      <c r="D6" s="10" t="s">
        <v>12</v>
      </c>
      <c r="E6" s="7" t="s">
        <v>13</v>
      </c>
      <c r="F6" s="7" t="s">
        <v>14</v>
      </c>
    </row>
    <row r="7" customFormat="false" ht="36" hidden="false" customHeight="true" outlineLevel="0" collapsed="false">
      <c r="A7" s="11" t="s">
        <v>15</v>
      </c>
      <c r="B7" s="12" t="s">
        <v>16</v>
      </c>
      <c r="C7" s="9" t="s">
        <v>11</v>
      </c>
      <c r="D7" s="13" t="s">
        <v>17</v>
      </c>
      <c r="E7" s="11" t="s">
        <v>13</v>
      </c>
      <c r="F7" s="11" t="s">
        <v>14</v>
      </c>
    </row>
    <row r="8" customFormat="false" ht="36" hidden="false" customHeight="true" outlineLevel="0" collapsed="false">
      <c r="A8" s="7" t="s">
        <v>18</v>
      </c>
      <c r="B8" s="8" t="s">
        <v>19</v>
      </c>
      <c r="C8" s="9" t="s">
        <v>11</v>
      </c>
      <c r="D8" s="10" t="s">
        <v>20</v>
      </c>
      <c r="E8" s="7" t="s">
        <v>13</v>
      </c>
      <c r="F8" s="7" t="s">
        <v>14</v>
      </c>
    </row>
    <row r="9" customFormat="false" ht="36" hidden="false" customHeight="true" outlineLevel="0" collapsed="false">
      <c r="A9" s="11" t="s">
        <v>21</v>
      </c>
      <c r="B9" s="12" t="s">
        <v>22</v>
      </c>
      <c r="C9" s="14" t="s">
        <v>23</v>
      </c>
      <c r="D9" s="13" t="s">
        <v>24</v>
      </c>
      <c r="E9" s="11" t="s">
        <v>25</v>
      </c>
      <c r="F9" s="11" t="s">
        <v>14</v>
      </c>
    </row>
    <row r="10" customFormat="false" ht="36" hidden="false" customHeight="true" outlineLevel="0" collapsed="false">
      <c r="A10" s="7" t="s">
        <v>26</v>
      </c>
      <c r="B10" s="8" t="s">
        <v>27</v>
      </c>
      <c r="C10" s="9" t="s">
        <v>11</v>
      </c>
      <c r="D10" s="10" t="s">
        <v>28</v>
      </c>
      <c r="E10" s="7" t="s">
        <v>25</v>
      </c>
      <c r="F10" s="7" t="s">
        <v>14</v>
      </c>
    </row>
    <row r="11" customFormat="false" ht="27.75" hidden="false" customHeight="true" outlineLevel="0" collapsed="false">
      <c r="A11" s="6" t="s">
        <v>29</v>
      </c>
      <c r="B11" s="6"/>
      <c r="C11" s="6"/>
      <c r="D11" s="6"/>
      <c r="E11" s="6"/>
      <c r="F11" s="6"/>
    </row>
    <row r="12" customFormat="false" ht="36" hidden="false" customHeight="true" outlineLevel="0" collapsed="false">
      <c r="A12" s="7" t="s">
        <v>30</v>
      </c>
      <c r="B12" s="8" t="s">
        <v>31</v>
      </c>
      <c r="C12" s="9" t="s">
        <v>11</v>
      </c>
      <c r="D12" s="10" t="s">
        <v>32</v>
      </c>
      <c r="E12" s="7" t="s">
        <v>13</v>
      </c>
      <c r="F12" s="7" t="s">
        <v>14</v>
      </c>
    </row>
    <row r="13" customFormat="false" ht="36" hidden="false" customHeight="true" outlineLevel="0" collapsed="false">
      <c r="A13" s="11" t="s">
        <v>33</v>
      </c>
      <c r="B13" s="12" t="s">
        <v>34</v>
      </c>
      <c r="C13" s="9" t="s">
        <v>11</v>
      </c>
      <c r="D13" s="13" t="s">
        <v>35</v>
      </c>
      <c r="E13" s="11" t="s">
        <v>13</v>
      </c>
      <c r="F13" s="11" t="s">
        <v>14</v>
      </c>
    </row>
    <row r="14" customFormat="false" ht="36" hidden="false" customHeight="true" outlineLevel="0" collapsed="false">
      <c r="A14" s="7" t="s">
        <v>36</v>
      </c>
      <c r="B14" s="8" t="s">
        <v>37</v>
      </c>
      <c r="C14" s="9" t="s">
        <v>11</v>
      </c>
      <c r="D14" s="10" t="s">
        <v>38</v>
      </c>
      <c r="E14" s="7" t="s">
        <v>13</v>
      </c>
      <c r="F14" s="7" t="s">
        <v>14</v>
      </c>
    </row>
    <row r="15" customFormat="false" ht="36" hidden="false" customHeight="true" outlineLevel="0" collapsed="false">
      <c r="A15" s="11" t="s">
        <v>39</v>
      </c>
      <c r="B15" s="12" t="s">
        <v>40</v>
      </c>
      <c r="C15" s="14" t="s">
        <v>23</v>
      </c>
      <c r="D15" s="13" t="s">
        <v>41</v>
      </c>
      <c r="E15" s="11" t="s">
        <v>25</v>
      </c>
      <c r="F15" s="11" t="s">
        <v>14</v>
      </c>
    </row>
    <row r="16" customFormat="false" ht="36" hidden="false" customHeight="true" outlineLevel="0" collapsed="false">
      <c r="A16" s="7" t="s">
        <v>42</v>
      </c>
      <c r="B16" s="8" t="s">
        <v>43</v>
      </c>
      <c r="C16" s="15" t="s">
        <v>44</v>
      </c>
      <c r="D16" s="10" t="s">
        <v>45</v>
      </c>
      <c r="E16" s="7" t="s">
        <v>46</v>
      </c>
      <c r="F16" s="7" t="s">
        <v>14</v>
      </c>
    </row>
    <row r="17" customFormat="false" ht="27.75" hidden="false" customHeight="true" outlineLevel="0" collapsed="false">
      <c r="A17" s="6" t="s">
        <v>47</v>
      </c>
      <c r="B17" s="6"/>
      <c r="C17" s="6"/>
      <c r="D17" s="6"/>
      <c r="E17" s="6"/>
      <c r="F17" s="6"/>
    </row>
    <row r="18" customFormat="false" ht="36" hidden="false" customHeight="true" outlineLevel="0" collapsed="false">
      <c r="A18" s="7" t="s">
        <v>48</v>
      </c>
      <c r="B18" s="8" t="s">
        <v>49</v>
      </c>
      <c r="C18" s="9" t="s">
        <v>11</v>
      </c>
      <c r="D18" s="10" t="s">
        <v>50</v>
      </c>
      <c r="E18" s="7" t="s">
        <v>25</v>
      </c>
      <c r="F18" s="7" t="s">
        <v>51</v>
      </c>
    </row>
    <row r="19" customFormat="false" ht="36" hidden="false" customHeight="true" outlineLevel="0" collapsed="false">
      <c r="A19" s="11" t="s">
        <v>52</v>
      </c>
      <c r="B19" s="12" t="s">
        <v>53</v>
      </c>
      <c r="C19" s="9" t="s">
        <v>11</v>
      </c>
      <c r="D19" s="13" t="s">
        <v>54</v>
      </c>
      <c r="E19" s="11" t="s">
        <v>25</v>
      </c>
      <c r="F19" s="11" t="s">
        <v>51</v>
      </c>
    </row>
    <row r="20" customFormat="false" ht="36" hidden="false" customHeight="true" outlineLevel="0" collapsed="false">
      <c r="A20" s="7" t="s">
        <v>55</v>
      </c>
      <c r="B20" s="8" t="s">
        <v>56</v>
      </c>
      <c r="C20" s="14" t="s">
        <v>23</v>
      </c>
      <c r="D20" s="10" t="s">
        <v>57</v>
      </c>
      <c r="E20" s="7" t="s">
        <v>46</v>
      </c>
      <c r="F20" s="7" t="s">
        <v>51</v>
      </c>
    </row>
    <row r="21" customFormat="false" ht="36" hidden="false" customHeight="true" outlineLevel="0" collapsed="false">
      <c r="A21" s="11" t="s">
        <v>58</v>
      </c>
      <c r="B21" s="12" t="s">
        <v>59</v>
      </c>
      <c r="C21" s="15" t="s">
        <v>44</v>
      </c>
      <c r="D21" s="13" t="s">
        <v>60</v>
      </c>
      <c r="E21" s="11" t="s">
        <v>46</v>
      </c>
      <c r="F21" s="11" t="s">
        <v>51</v>
      </c>
    </row>
    <row r="22" customFormat="false" ht="36" hidden="false" customHeight="true" outlineLevel="0" collapsed="false">
      <c r="A22" s="7" t="s">
        <v>61</v>
      </c>
      <c r="B22" s="8" t="s">
        <v>62</v>
      </c>
      <c r="C22" s="14" t="s">
        <v>23</v>
      </c>
      <c r="D22" s="10" t="s">
        <v>63</v>
      </c>
      <c r="E22" s="7" t="s">
        <v>25</v>
      </c>
      <c r="F22" s="7" t="s">
        <v>51</v>
      </c>
    </row>
    <row r="23" customFormat="false" ht="27.75" hidden="false" customHeight="true" outlineLevel="0" collapsed="false">
      <c r="A23" s="6" t="s">
        <v>64</v>
      </c>
      <c r="B23" s="6"/>
      <c r="C23" s="6"/>
      <c r="D23" s="6"/>
      <c r="E23" s="6"/>
      <c r="F23" s="6"/>
    </row>
    <row r="24" customFormat="false" ht="36" hidden="false" customHeight="true" outlineLevel="0" collapsed="false">
      <c r="A24" s="7" t="s">
        <v>65</v>
      </c>
      <c r="B24" s="8" t="s">
        <v>66</v>
      </c>
      <c r="C24" s="9" t="s">
        <v>11</v>
      </c>
      <c r="D24" s="10" t="s">
        <v>67</v>
      </c>
      <c r="E24" s="7" t="s">
        <v>13</v>
      </c>
      <c r="F24" s="7" t="s">
        <v>68</v>
      </c>
    </row>
    <row r="25" customFormat="false" ht="36" hidden="false" customHeight="true" outlineLevel="0" collapsed="false">
      <c r="A25" s="11" t="s">
        <v>69</v>
      </c>
      <c r="B25" s="12" t="s">
        <v>70</v>
      </c>
      <c r="C25" s="9" t="s">
        <v>11</v>
      </c>
      <c r="D25" s="13" t="s">
        <v>71</v>
      </c>
      <c r="E25" s="11" t="s">
        <v>13</v>
      </c>
      <c r="F25" s="11" t="s">
        <v>68</v>
      </c>
    </row>
    <row r="26" customFormat="false" ht="36" hidden="false" customHeight="true" outlineLevel="0" collapsed="false">
      <c r="A26" s="7" t="s">
        <v>72</v>
      </c>
      <c r="B26" s="8" t="s">
        <v>73</v>
      </c>
      <c r="C26" s="9" t="s">
        <v>11</v>
      </c>
      <c r="D26" s="10" t="s">
        <v>74</v>
      </c>
      <c r="E26" s="7" t="s">
        <v>13</v>
      </c>
      <c r="F26" s="7" t="s">
        <v>68</v>
      </c>
    </row>
    <row r="27" customFormat="false" ht="36" hidden="false" customHeight="true" outlineLevel="0" collapsed="false">
      <c r="A27" s="11" t="s">
        <v>75</v>
      </c>
      <c r="B27" s="12" t="s">
        <v>76</v>
      </c>
      <c r="C27" s="9" t="s">
        <v>11</v>
      </c>
      <c r="D27" s="13" t="s">
        <v>77</v>
      </c>
      <c r="E27" s="11" t="s">
        <v>13</v>
      </c>
      <c r="F27" s="11" t="s">
        <v>68</v>
      </c>
    </row>
    <row r="28" customFormat="false" ht="36" hidden="false" customHeight="true" outlineLevel="0" collapsed="false">
      <c r="A28" s="7" t="s">
        <v>78</v>
      </c>
      <c r="B28" s="8" t="s">
        <v>79</v>
      </c>
      <c r="C28" s="14" t="s">
        <v>23</v>
      </c>
      <c r="D28" s="10" t="s">
        <v>80</v>
      </c>
      <c r="E28" s="7" t="s">
        <v>25</v>
      </c>
      <c r="F28" s="7" t="s">
        <v>68</v>
      </c>
    </row>
    <row r="29" customFormat="false" ht="27.75" hidden="false" customHeight="true" outlineLevel="0" collapsed="false">
      <c r="A29" s="6" t="s">
        <v>81</v>
      </c>
      <c r="B29" s="6"/>
      <c r="C29" s="6"/>
      <c r="D29" s="6"/>
      <c r="E29" s="6"/>
      <c r="F29" s="6"/>
    </row>
    <row r="30" customFormat="false" ht="36" hidden="false" customHeight="true" outlineLevel="0" collapsed="false">
      <c r="A30" s="7" t="s">
        <v>82</v>
      </c>
      <c r="B30" s="8" t="s">
        <v>83</v>
      </c>
      <c r="C30" s="14" t="s">
        <v>23</v>
      </c>
      <c r="D30" s="10" t="s">
        <v>84</v>
      </c>
      <c r="E30" s="7" t="s">
        <v>25</v>
      </c>
      <c r="F30" s="7" t="s">
        <v>85</v>
      </c>
    </row>
    <row r="31" customFormat="false" ht="36" hidden="false" customHeight="true" outlineLevel="0" collapsed="false">
      <c r="A31" s="11" t="s">
        <v>86</v>
      </c>
      <c r="B31" s="12" t="s">
        <v>87</v>
      </c>
      <c r="C31" s="14" t="s">
        <v>23</v>
      </c>
      <c r="D31" s="13" t="s">
        <v>88</v>
      </c>
      <c r="E31" s="11" t="s">
        <v>46</v>
      </c>
      <c r="F31" s="11" t="s">
        <v>85</v>
      </c>
    </row>
    <row r="32" customFormat="false" ht="36" hidden="false" customHeight="true" outlineLevel="0" collapsed="false">
      <c r="A32" s="7" t="s">
        <v>89</v>
      </c>
      <c r="B32" s="8" t="s">
        <v>90</v>
      </c>
      <c r="C32" s="15" t="s">
        <v>44</v>
      </c>
      <c r="D32" s="10" t="s">
        <v>91</v>
      </c>
      <c r="E32" s="7" t="s">
        <v>25</v>
      </c>
      <c r="F32" s="7" t="s">
        <v>85</v>
      </c>
    </row>
    <row r="33" customFormat="false" ht="36" hidden="false" customHeight="true" outlineLevel="0" collapsed="false">
      <c r="A33" s="11" t="s">
        <v>92</v>
      </c>
      <c r="B33" s="12" t="s">
        <v>93</v>
      </c>
      <c r="C33" s="9" t="s">
        <v>11</v>
      </c>
      <c r="D33" s="13" t="s">
        <v>94</v>
      </c>
      <c r="E33" s="11" t="s">
        <v>25</v>
      </c>
      <c r="F33" s="11" t="s">
        <v>85</v>
      </c>
    </row>
    <row r="34" customFormat="false" ht="36" hidden="false" customHeight="true" outlineLevel="0" collapsed="false">
      <c r="A34" s="7" t="s">
        <v>95</v>
      </c>
      <c r="B34" s="8" t="s">
        <v>96</v>
      </c>
      <c r="C34" s="15" t="s">
        <v>44</v>
      </c>
      <c r="D34" s="10" t="s">
        <v>97</v>
      </c>
      <c r="E34" s="7" t="s">
        <v>46</v>
      </c>
      <c r="F34" s="7" t="s">
        <v>85</v>
      </c>
    </row>
    <row r="35" customFormat="false" ht="36" hidden="false" customHeight="true" outlineLevel="0" collapsed="false">
      <c r="A35" s="11" t="s">
        <v>98</v>
      </c>
      <c r="B35" s="12" t="s">
        <v>99</v>
      </c>
      <c r="C35" s="14" t="s">
        <v>23</v>
      </c>
      <c r="D35" s="13" t="s">
        <v>100</v>
      </c>
      <c r="E35" s="11" t="s">
        <v>46</v>
      </c>
      <c r="F35" s="11" t="s">
        <v>85</v>
      </c>
    </row>
    <row r="36" customFormat="false" ht="27.75" hidden="false" customHeight="true" outlineLevel="0" collapsed="false">
      <c r="A36" s="6" t="s">
        <v>101</v>
      </c>
      <c r="B36" s="6"/>
      <c r="C36" s="6"/>
      <c r="D36" s="6"/>
      <c r="E36" s="6"/>
      <c r="F36" s="6"/>
    </row>
    <row r="37" customFormat="false" ht="36" hidden="false" customHeight="true" outlineLevel="0" collapsed="false">
      <c r="A37" s="11" t="s">
        <v>102</v>
      </c>
      <c r="B37" s="12" t="s">
        <v>103</v>
      </c>
      <c r="C37" s="9" t="s">
        <v>11</v>
      </c>
      <c r="D37" s="13" t="s">
        <v>104</v>
      </c>
      <c r="E37" s="11" t="s">
        <v>13</v>
      </c>
      <c r="F37" s="11" t="s">
        <v>105</v>
      </c>
    </row>
    <row r="38" customFormat="false" ht="36" hidden="false" customHeight="true" outlineLevel="0" collapsed="false">
      <c r="A38" s="7" t="s">
        <v>106</v>
      </c>
      <c r="B38" s="8" t="s">
        <v>107</v>
      </c>
      <c r="C38" s="9" t="s">
        <v>11</v>
      </c>
      <c r="D38" s="10" t="s">
        <v>108</v>
      </c>
      <c r="E38" s="7" t="s">
        <v>13</v>
      </c>
      <c r="F38" s="7" t="s">
        <v>105</v>
      </c>
    </row>
    <row r="39" customFormat="false" ht="36" hidden="false" customHeight="true" outlineLevel="0" collapsed="false">
      <c r="A39" s="11" t="s">
        <v>109</v>
      </c>
      <c r="B39" s="12" t="s">
        <v>110</v>
      </c>
      <c r="C39" s="9" t="s">
        <v>11</v>
      </c>
      <c r="D39" s="13" t="s">
        <v>111</v>
      </c>
      <c r="E39" s="11" t="s">
        <v>13</v>
      </c>
      <c r="F39" s="11" t="s">
        <v>105</v>
      </c>
    </row>
    <row r="40" customFormat="false" ht="36" hidden="false" customHeight="true" outlineLevel="0" collapsed="false">
      <c r="A40" s="7" t="s">
        <v>112</v>
      </c>
      <c r="B40" s="8" t="s">
        <v>113</v>
      </c>
      <c r="C40" s="9" t="s">
        <v>11</v>
      </c>
      <c r="D40" s="10" t="s">
        <v>114</v>
      </c>
      <c r="E40" s="7" t="s">
        <v>13</v>
      </c>
      <c r="F40" s="7" t="s">
        <v>105</v>
      </c>
    </row>
    <row r="41" customFormat="false" ht="36" hidden="false" customHeight="true" outlineLevel="0" collapsed="false">
      <c r="A41" s="11" t="s">
        <v>115</v>
      </c>
      <c r="B41" s="12" t="s">
        <v>116</v>
      </c>
      <c r="C41" s="9" t="s">
        <v>11</v>
      </c>
      <c r="D41" s="13" t="s">
        <v>117</v>
      </c>
      <c r="E41" s="11" t="s">
        <v>13</v>
      </c>
      <c r="F41" s="11" t="s">
        <v>105</v>
      </c>
    </row>
    <row r="42" customFormat="false" ht="36" hidden="false" customHeight="true" outlineLevel="0" collapsed="false">
      <c r="A42" s="7" t="s">
        <v>118</v>
      </c>
      <c r="B42" s="8" t="s">
        <v>119</v>
      </c>
      <c r="C42" s="15" t="s">
        <v>44</v>
      </c>
      <c r="D42" s="10" t="s">
        <v>120</v>
      </c>
      <c r="E42" s="7" t="s">
        <v>25</v>
      </c>
      <c r="F42" s="7" t="s">
        <v>105</v>
      </c>
    </row>
    <row r="43" customFormat="false" ht="27.75" hidden="false" customHeight="true" outlineLevel="0" collapsed="false">
      <c r="A43" s="6" t="s">
        <v>121</v>
      </c>
      <c r="B43" s="6"/>
      <c r="C43" s="6"/>
      <c r="D43" s="6"/>
      <c r="E43" s="6"/>
      <c r="F43" s="6"/>
    </row>
    <row r="44" customFormat="false" ht="36" hidden="false" customHeight="true" outlineLevel="0" collapsed="false">
      <c r="A44" s="7" t="s">
        <v>122</v>
      </c>
      <c r="B44" s="8" t="s">
        <v>123</v>
      </c>
      <c r="C44" s="9" t="s">
        <v>11</v>
      </c>
      <c r="D44" s="10" t="s">
        <v>124</v>
      </c>
      <c r="E44" s="7" t="s">
        <v>13</v>
      </c>
      <c r="F44" s="7" t="s">
        <v>105</v>
      </c>
    </row>
    <row r="45" customFormat="false" ht="36" hidden="false" customHeight="true" outlineLevel="0" collapsed="false">
      <c r="A45" s="11" t="s">
        <v>125</v>
      </c>
      <c r="B45" s="12" t="s">
        <v>126</v>
      </c>
      <c r="C45" s="9" t="s">
        <v>11</v>
      </c>
      <c r="D45" s="13" t="s">
        <v>127</v>
      </c>
      <c r="E45" s="11" t="s">
        <v>13</v>
      </c>
      <c r="F45" s="11" t="s">
        <v>105</v>
      </c>
    </row>
    <row r="46" customFormat="false" ht="36" hidden="false" customHeight="true" outlineLevel="0" collapsed="false">
      <c r="A46" s="7" t="s">
        <v>128</v>
      </c>
      <c r="B46" s="8" t="s">
        <v>129</v>
      </c>
      <c r="C46" s="15" t="s">
        <v>44</v>
      </c>
      <c r="D46" s="10" t="s">
        <v>130</v>
      </c>
      <c r="E46" s="7" t="s">
        <v>46</v>
      </c>
      <c r="F46" s="7" t="s">
        <v>105</v>
      </c>
    </row>
    <row r="47" customFormat="false" ht="36" hidden="false" customHeight="true" outlineLevel="0" collapsed="false">
      <c r="A47" s="11" t="s">
        <v>131</v>
      </c>
      <c r="B47" s="12" t="s">
        <v>132</v>
      </c>
      <c r="C47" s="9" t="s">
        <v>11</v>
      </c>
      <c r="D47" s="13" t="s">
        <v>133</v>
      </c>
      <c r="E47" s="11" t="s">
        <v>13</v>
      </c>
      <c r="F47" s="11" t="s">
        <v>105</v>
      </c>
    </row>
    <row r="48" customFormat="false" ht="36" hidden="false" customHeight="true" outlineLevel="0" collapsed="false">
      <c r="A48" s="7" t="s">
        <v>134</v>
      </c>
      <c r="B48" s="8" t="s">
        <v>135</v>
      </c>
      <c r="C48" s="15" t="s">
        <v>44</v>
      </c>
      <c r="D48" s="10" t="s">
        <v>136</v>
      </c>
      <c r="E48" s="7" t="s">
        <v>25</v>
      </c>
      <c r="F48" s="7" t="s">
        <v>105</v>
      </c>
    </row>
    <row r="49" customFormat="false" ht="36" hidden="false" customHeight="true" outlineLevel="0" collapsed="false">
      <c r="A49" s="11" t="s">
        <v>137</v>
      </c>
      <c r="B49" s="12" t="s">
        <v>138</v>
      </c>
      <c r="C49" s="9" t="s">
        <v>11</v>
      </c>
      <c r="D49" s="13" t="s">
        <v>139</v>
      </c>
      <c r="E49" s="11" t="s">
        <v>13</v>
      </c>
      <c r="F49" s="11" t="s">
        <v>105</v>
      </c>
    </row>
    <row r="50" customFormat="false" ht="27.75" hidden="false" customHeight="true" outlineLevel="0" collapsed="false">
      <c r="A50" s="6" t="s">
        <v>140</v>
      </c>
      <c r="B50" s="6"/>
      <c r="C50" s="6"/>
      <c r="D50" s="6"/>
      <c r="E50" s="6"/>
      <c r="F50" s="6"/>
    </row>
    <row r="51" customFormat="false" ht="36" hidden="false" customHeight="true" outlineLevel="0" collapsed="false">
      <c r="A51" s="11" t="s">
        <v>141</v>
      </c>
      <c r="B51" s="12" t="s">
        <v>142</v>
      </c>
      <c r="C51" s="9" t="s">
        <v>11</v>
      </c>
      <c r="D51" s="13" t="s">
        <v>143</v>
      </c>
      <c r="E51" s="11" t="s">
        <v>13</v>
      </c>
      <c r="F51" s="11" t="s">
        <v>144</v>
      </c>
    </row>
    <row r="52" customFormat="false" ht="36" hidden="false" customHeight="true" outlineLevel="0" collapsed="false">
      <c r="A52" s="7" t="s">
        <v>145</v>
      </c>
      <c r="B52" s="8" t="s">
        <v>146</v>
      </c>
      <c r="C52" s="9" t="s">
        <v>11</v>
      </c>
      <c r="D52" s="10" t="s">
        <v>147</v>
      </c>
      <c r="E52" s="7" t="s">
        <v>13</v>
      </c>
      <c r="F52" s="7" t="s">
        <v>144</v>
      </c>
    </row>
    <row r="53" customFormat="false" ht="36" hidden="false" customHeight="true" outlineLevel="0" collapsed="false">
      <c r="A53" s="11" t="s">
        <v>148</v>
      </c>
      <c r="B53" s="12" t="s">
        <v>149</v>
      </c>
      <c r="C53" s="14" t="s">
        <v>23</v>
      </c>
      <c r="D53" s="13" t="s">
        <v>150</v>
      </c>
      <c r="E53" s="11" t="s">
        <v>13</v>
      </c>
      <c r="F53" s="11" t="s">
        <v>144</v>
      </c>
    </row>
    <row r="54" customFormat="false" ht="36" hidden="false" customHeight="true" outlineLevel="0" collapsed="false">
      <c r="A54" s="7" t="s">
        <v>151</v>
      </c>
      <c r="B54" s="8" t="s">
        <v>152</v>
      </c>
      <c r="C54" s="9" t="s">
        <v>11</v>
      </c>
      <c r="D54" s="10" t="s">
        <v>153</v>
      </c>
      <c r="E54" s="7" t="s">
        <v>25</v>
      </c>
      <c r="F54" s="7" t="s">
        <v>144</v>
      </c>
    </row>
    <row r="55" customFormat="false" ht="36" hidden="false" customHeight="true" outlineLevel="0" collapsed="false">
      <c r="A55" s="11" t="s">
        <v>154</v>
      </c>
      <c r="B55" s="12" t="s">
        <v>155</v>
      </c>
      <c r="C55" s="9" t="s">
        <v>11</v>
      </c>
      <c r="D55" s="13" t="s">
        <v>156</v>
      </c>
      <c r="E55" s="11" t="s">
        <v>25</v>
      </c>
      <c r="F55" s="11" t="s">
        <v>144</v>
      </c>
    </row>
    <row r="56" customFormat="false" ht="27.75" hidden="false" customHeight="true" outlineLevel="0" collapsed="false">
      <c r="A56" s="6" t="s">
        <v>157</v>
      </c>
      <c r="B56" s="6"/>
      <c r="C56" s="6"/>
      <c r="D56" s="6"/>
      <c r="E56" s="6"/>
      <c r="F56" s="6"/>
    </row>
    <row r="57" customFormat="false" ht="36" hidden="false" customHeight="true" outlineLevel="0" collapsed="false">
      <c r="A57" s="11" t="s">
        <v>158</v>
      </c>
      <c r="B57" s="12" t="s">
        <v>159</v>
      </c>
      <c r="C57" s="9" t="s">
        <v>11</v>
      </c>
      <c r="D57" s="13" t="s">
        <v>160</v>
      </c>
      <c r="E57" s="11" t="s">
        <v>13</v>
      </c>
      <c r="F57" s="11" t="s">
        <v>144</v>
      </c>
    </row>
    <row r="58" customFormat="false" ht="36" hidden="false" customHeight="true" outlineLevel="0" collapsed="false">
      <c r="A58" s="7" t="s">
        <v>161</v>
      </c>
      <c r="B58" s="8" t="s">
        <v>162</v>
      </c>
      <c r="C58" s="9" t="s">
        <v>11</v>
      </c>
      <c r="D58" s="10" t="s">
        <v>163</v>
      </c>
      <c r="E58" s="7" t="s">
        <v>13</v>
      </c>
      <c r="F58" s="7" t="s">
        <v>144</v>
      </c>
    </row>
    <row r="59" customFormat="false" ht="36" hidden="false" customHeight="true" outlineLevel="0" collapsed="false">
      <c r="A59" s="11" t="s">
        <v>164</v>
      </c>
      <c r="B59" s="12" t="s">
        <v>165</v>
      </c>
      <c r="C59" s="9" t="s">
        <v>11</v>
      </c>
      <c r="D59" s="13" t="s">
        <v>166</v>
      </c>
      <c r="E59" s="11" t="s">
        <v>13</v>
      </c>
      <c r="F59" s="11" t="s">
        <v>144</v>
      </c>
    </row>
    <row r="60" customFormat="false" ht="36" hidden="false" customHeight="true" outlineLevel="0" collapsed="false">
      <c r="A60" s="7" t="s">
        <v>167</v>
      </c>
      <c r="B60" s="8" t="s">
        <v>168</v>
      </c>
      <c r="C60" s="9" t="s">
        <v>11</v>
      </c>
      <c r="D60" s="10" t="s">
        <v>169</v>
      </c>
      <c r="E60" s="7" t="s">
        <v>25</v>
      </c>
      <c r="F60" s="7" t="s">
        <v>144</v>
      </c>
    </row>
    <row r="61" customFormat="false" ht="36" hidden="false" customHeight="true" outlineLevel="0" collapsed="false">
      <c r="A61" s="11" t="s">
        <v>170</v>
      </c>
      <c r="B61" s="12" t="s">
        <v>171</v>
      </c>
      <c r="C61" s="9" t="s">
        <v>11</v>
      </c>
      <c r="D61" s="13" t="s">
        <v>172</v>
      </c>
      <c r="E61" s="11" t="s">
        <v>25</v>
      </c>
      <c r="F61" s="11" t="s">
        <v>144</v>
      </c>
    </row>
    <row r="62" customFormat="false" ht="36" hidden="false" customHeight="true" outlineLevel="0" collapsed="false">
      <c r="A62" s="7" t="s">
        <v>173</v>
      </c>
      <c r="B62" s="8" t="s">
        <v>174</v>
      </c>
      <c r="C62" s="9" t="s">
        <v>11</v>
      </c>
      <c r="D62" s="10" t="s">
        <v>175</v>
      </c>
      <c r="E62" s="7" t="s">
        <v>25</v>
      </c>
      <c r="F62" s="7" t="s">
        <v>144</v>
      </c>
    </row>
    <row r="63" customFormat="false" ht="36" hidden="false" customHeight="true" outlineLevel="0" collapsed="false">
      <c r="A63" s="11" t="s">
        <v>176</v>
      </c>
      <c r="B63" s="12" t="s">
        <v>177</v>
      </c>
      <c r="C63" s="9" t="s">
        <v>11</v>
      </c>
      <c r="D63" s="13" t="s">
        <v>178</v>
      </c>
      <c r="E63" s="11" t="s">
        <v>25</v>
      </c>
      <c r="F63" s="11" t="s">
        <v>144</v>
      </c>
    </row>
  </sheetData>
  <mergeCells count="12">
    <mergeCell ref="A1:F1"/>
    <mergeCell ref="A2:F2"/>
    <mergeCell ref="A3:F3"/>
    <mergeCell ref="A5:F5"/>
    <mergeCell ref="A11:F11"/>
    <mergeCell ref="A17:F17"/>
    <mergeCell ref="A23:F23"/>
    <mergeCell ref="A29:F29"/>
    <mergeCell ref="A36:F36"/>
    <mergeCell ref="A43:F43"/>
    <mergeCell ref="A50:F50"/>
    <mergeCell ref="A56:F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8A169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14"/>
  </cols>
  <sheetData>
    <row r="1" customFormat="false" ht="36" hidden="false" customHeight="true" outlineLevel="0" collapsed="false">
      <c r="A1" s="16" t="s">
        <v>179</v>
      </c>
      <c r="B1" s="16"/>
      <c r="C1" s="16"/>
      <c r="D1" s="16"/>
      <c r="E1" s="16"/>
      <c r="F1" s="16"/>
    </row>
    <row r="3" customFormat="false" ht="27.75" hidden="false" customHeight="true" outlineLevel="0" collapsed="false">
      <c r="A3" s="4" t="s">
        <v>180</v>
      </c>
      <c r="B3" s="4" t="s">
        <v>181</v>
      </c>
      <c r="C3" s="4" t="s">
        <v>182</v>
      </c>
      <c r="D3" s="4" t="s">
        <v>183</v>
      </c>
      <c r="E3" s="4" t="s">
        <v>184</v>
      </c>
      <c r="F3" s="4" t="s">
        <v>185</v>
      </c>
    </row>
    <row r="4" customFormat="false" ht="25.5" hidden="false" customHeight="true" outlineLevel="0" collapsed="false">
      <c r="A4" s="8" t="s">
        <v>8</v>
      </c>
      <c r="B4" s="7" t="n">
        <v>4</v>
      </c>
      <c r="C4" s="7" t="n">
        <v>1</v>
      </c>
      <c r="D4" s="7" t="n">
        <v>0</v>
      </c>
      <c r="E4" s="7" t="n">
        <v>5</v>
      </c>
      <c r="F4" s="17" t="n">
        <f aca="false">IF(E4=0,0,B4/E4)</f>
        <v>0.8</v>
      </c>
    </row>
    <row r="5" customFormat="false" ht="25.5" hidden="false" customHeight="true" outlineLevel="0" collapsed="false">
      <c r="A5" s="12" t="s">
        <v>29</v>
      </c>
      <c r="B5" s="11" t="n">
        <v>3</v>
      </c>
      <c r="C5" s="11" t="n">
        <v>1</v>
      </c>
      <c r="D5" s="11" t="n">
        <v>1</v>
      </c>
      <c r="E5" s="11" t="n">
        <v>5</v>
      </c>
      <c r="F5" s="18" t="n">
        <f aca="false">IF(E5=0,0,B5/E5)</f>
        <v>0.6</v>
      </c>
    </row>
    <row r="6" customFormat="false" ht="25.5" hidden="false" customHeight="true" outlineLevel="0" collapsed="false">
      <c r="A6" s="8" t="s">
        <v>47</v>
      </c>
      <c r="B6" s="7" t="n">
        <v>2</v>
      </c>
      <c r="C6" s="7" t="n">
        <v>2</v>
      </c>
      <c r="D6" s="7" t="n">
        <v>1</v>
      </c>
      <c r="E6" s="7" t="n">
        <v>5</v>
      </c>
      <c r="F6" s="17" t="n">
        <f aca="false">IF(E6=0,0,B6/E6)</f>
        <v>0.4</v>
      </c>
    </row>
    <row r="7" customFormat="false" ht="25.5" hidden="false" customHeight="true" outlineLevel="0" collapsed="false">
      <c r="A7" s="12" t="s">
        <v>64</v>
      </c>
      <c r="B7" s="11" t="n">
        <v>4</v>
      </c>
      <c r="C7" s="11" t="n">
        <v>1</v>
      </c>
      <c r="D7" s="11" t="n">
        <v>0</v>
      </c>
      <c r="E7" s="11" t="n">
        <v>5</v>
      </c>
      <c r="F7" s="18" t="n">
        <f aca="false">IF(E7=0,0,B7/E7)</f>
        <v>0.8</v>
      </c>
    </row>
    <row r="8" customFormat="false" ht="25.5" hidden="false" customHeight="true" outlineLevel="0" collapsed="false">
      <c r="A8" s="8" t="s">
        <v>81</v>
      </c>
      <c r="B8" s="7" t="n">
        <v>1</v>
      </c>
      <c r="C8" s="7" t="n">
        <v>3</v>
      </c>
      <c r="D8" s="7" t="n">
        <v>2</v>
      </c>
      <c r="E8" s="7" t="n">
        <v>6</v>
      </c>
      <c r="F8" s="17" t="n">
        <f aca="false">IF(E8=0,0,B8/E8)</f>
        <v>0.166666666666667</v>
      </c>
    </row>
    <row r="9" customFormat="false" ht="25.5" hidden="false" customHeight="true" outlineLevel="0" collapsed="false">
      <c r="A9" s="12" t="s">
        <v>101</v>
      </c>
      <c r="B9" s="11" t="n">
        <v>5</v>
      </c>
      <c r="C9" s="11" t="n">
        <v>0</v>
      </c>
      <c r="D9" s="11" t="n">
        <v>1</v>
      </c>
      <c r="E9" s="11" t="n">
        <v>6</v>
      </c>
      <c r="F9" s="18" t="n">
        <f aca="false">IF(E9=0,0,B9/E9)</f>
        <v>0.833333333333333</v>
      </c>
    </row>
    <row r="10" customFormat="false" ht="25.5" hidden="false" customHeight="true" outlineLevel="0" collapsed="false">
      <c r="A10" s="8" t="s">
        <v>121</v>
      </c>
      <c r="B10" s="7" t="n">
        <v>4</v>
      </c>
      <c r="C10" s="7" t="n">
        <v>0</v>
      </c>
      <c r="D10" s="7" t="n">
        <v>2</v>
      </c>
      <c r="E10" s="7" t="n">
        <v>6</v>
      </c>
      <c r="F10" s="17" t="n">
        <f aca="false">IF(E10=0,0,B10/E10)</f>
        <v>0.666666666666667</v>
      </c>
    </row>
    <row r="11" customFormat="false" ht="25.5" hidden="false" customHeight="true" outlineLevel="0" collapsed="false">
      <c r="A11" s="12" t="s">
        <v>140</v>
      </c>
      <c r="B11" s="11" t="n">
        <v>4</v>
      </c>
      <c r="C11" s="11" t="n">
        <v>1</v>
      </c>
      <c r="D11" s="11" t="n">
        <v>0</v>
      </c>
      <c r="E11" s="11" t="n">
        <v>5</v>
      </c>
      <c r="F11" s="18" t="n">
        <f aca="false">IF(E11=0,0,B11/E11)</f>
        <v>0.8</v>
      </c>
    </row>
    <row r="12" customFormat="false" ht="25.5" hidden="false" customHeight="true" outlineLevel="0" collapsed="false">
      <c r="A12" s="8" t="s">
        <v>157</v>
      </c>
      <c r="B12" s="7" t="n">
        <v>7</v>
      </c>
      <c r="C12" s="7" t="n">
        <v>0</v>
      </c>
      <c r="D12" s="7" t="n">
        <v>0</v>
      </c>
      <c r="E12" s="7" t="n">
        <v>7</v>
      </c>
      <c r="F12" s="17" t="n">
        <f aca="false">IF(E12=0,0,B12/E12)</f>
        <v>1</v>
      </c>
    </row>
    <row r="13" customFormat="false" ht="30" hidden="false" customHeight="true" outlineLevel="0" collapsed="false">
      <c r="A13" s="19" t="s">
        <v>186</v>
      </c>
      <c r="B13" s="20" t="n">
        <f aca="false">SUM(B4:B12)</f>
        <v>34</v>
      </c>
      <c r="C13" s="20" t="n">
        <f aca="false">SUM(C4:C12)</f>
        <v>9</v>
      </c>
      <c r="D13" s="20" t="n">
        <f aca="false">SUM(D4:D12)</f>
        <v>7</v>
      </c>
      <c r="E13" s="20" t="n">
        <f aca="false">SUM(E4:E12)</f>
        <v>50</v>
      </c>
      <c r="F13" s="21" t="n">
        <f aca="false">IF(E13=0,0,B13/E13)</f>
        <v>0.68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2026-10-03T13:28:19Z</dcterms:created>
  <dc:creator>openpyxl</dc:creator>
  <dc:description/>
  <dc:language>en-US</dc:language>
  <cp:lastModifiedBy/>
  <dcterms:modified xsi:type="dcterms:W3CDTF">2026-10-03T13:28:19Z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